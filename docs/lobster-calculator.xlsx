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<sst xmlns="http://schemas.openxmlformats.org/spreadsheetml/2006/main" count="69" uniqueCount="50">
  <si>
    <t xml:space="preserve">Input</t>
  </si>
  <si>
    <t xml:space="preserve">Value</t>
  </si>
  <si>
    <t xml:space="preserve">Type</t>
  </si>
  <si>
    <t xml:space="preserve">Source/Note</t>
  </si>
  <si>
    <t xml:space="preserve">Buy price $/lb</t>
  </si>
  <si>
    <t xml:space="preserve">SOURCED (industry, not official)</t>
  </si>
  <si>
    <t xml:space="preserve">2025 opening ex-vessel $7-10/lb; Catalina paid &gt;=$9 (catalinaop.com, Oct 10 2025). No 2026 figure found</t>
  </si>
  <si>
    <t xml:space="preserve">Sell price $/lb</t>
  </si>
  <si>
    <t xml:space="preserve">ESTIMATE</t>
  </si>
  <si>
    <t xml:space="preserve">wholesale to restaurants</t>
  </si>
  <si>
    <t xml:space="preserve">Lbs per week</t>
  </si>
  <si>
    <t xml:space="preserve">Shrink/dead loss %</t>
  </si>
  <si>
    <t xml:space="preserve">Selling weeks, year 1</t>
  </si>
  <si>
    <t xml:space="preserve">~Nov 16 2026 (est. first legal sale) to Mar 17 2027 = 17.3 wk</t>
  </si>
  <si>
    <t xml:space="preserve">CDFW Fish Receiver License 2026 $</t>
  </si>
  <si>
    <t xml:space="preserve">SOURCED</t>
  </si>
  <si>
    <t xml:space="preserve">wildlife.ca.gov/Licensing/Commercial-Fish-Business/Descriptions; valid only to Dec 31 2026</t>
  </si>
  <si>
    <t xml:space="preserve">CDFW Fish Receiver License 2027 $</t>
  </si>
  <si>
    <t xml:space="preserve">UNVERIFIED</t>
  </si>
  <si>
    <t xml:space="preserve">2027 fee not published; assumes 2026 fee. Needed because season runs to Mar 17 2027</t>
  </si>
  <si>
    <t xml:space="preserve">CDPH PFR total $/yr</t>
  </si>
  <si>
    <t xml:space="preserve">$524 base (code A/D, &lt;=5,000 sq ft or 0-2 staff) + $250 seafood HACCP + $100 food safety fee; CDPH 8610 (7/2025)</t>
  </si>
  <si>
    <t xml:space="preserve">City license $/yr</t>
  </si>
  <si>
    <t xml:space="preserve">SOURCED (FY25-26)</t>
  </si>
  <si>
    <t xml:space="preserve">Long Beach wholesale $473.47 + $12.27/employee, FY 7/1/25-6/30/26 table; FY26-27 table UNVERIFIED</t>
  </si>
  <si>
    <t xml:space="preserve">LLC-1 + LLC-12 $</t>
  </si>
  <si>
    <t xml:space="preserve">$70 + $20, CA SOS</t>
  </si>
  <si>
    <t xml:space="preserve">FTB annual tax $ (2 payments)</t>
  </si>
  <si>
    <t xml:space="preserve">$800 for 2026 tax yr due Jan 15 2027 + $800 for 2027 due Apr 15 2027; ftb.ca.gov</t>
  </si>
  <si>
    <t xml:space="preserve">Insurance $/yr</t>
  </si>
  <si>
    <t xml:space="preserve">HACCP training $</t>
  </si>
  <si>
    <t xml:space="preserve">Equipment (tanks/coolers) $</t>
  </si>
  <si>
    <t xml:space="preserve">range $3-8k</t>
  </si>
  <si>
    <t xml:space="preserve">Fuel $/week</t>
  </si>
  <si>
    <t xml:space="preserve">Ice/tank/supplies $/lb</t>
  </si>
  <si>
    <t xml:space="preserve">Full legal season weeks</t>
  </si>
  <si>
    <t xml:space="preserve">Oct 7 2026 - Mar 17 2027 (14 CCR 121)</t>
  </si>
  <si>
    <t xml:space="preserve">Net margin $/lb</t>
  </si>
  <si>
    <t xml:space="preserve">FORMULA</t>
  </si>
  <si>
    <t xml:space="preserve">sell after shrink - buy - supplies</t>
  </si>
  <si>
    <t xml:space="preserve">Weekly profit before fixed</t>
  </si>
  <si>
    <t xml:space="preserve">Monthly profit (4.33 wk) before fixed</t>
  </si>
  <si>
    <t xml:space="preserve">Year-1 fixed</t>
  </si>
  <si>
    <t xml:space="preserve">all licenses/fees/insurance/equipment, first 12 months</t>
  </si>
  <si>
    <t xml:space="preserve">Season profit (year 1)</t>
  </si>
  <si>
    <t xml:space="preserve">Break-even lbs/season</t>
  </si>
  <si>
    <t xml:space="preserve">year-1 fixed + fuel, over selling weeks</t>
  </si>
  <si>
    <t xml:space="preserve">Break-even lbs/week</t>
  </si>
  <si>
    <t xml:space="preserve">Break-even lbs/week if selling full 23-wk season</t>
  </si>
  <si>
    <t xml:space="preserve">reference only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</si>
</sst>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16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n">
        <v>150</v>
      </c>
      <c r="C4" s="0" t="s">
        <v>8</v>
      </c>
    </row>
    <row r="5" customFormat="false" ht="15" hidden="false" customHeight="false" outlineLevel="0" collapsed="false">
      <c r="A5" s="0" t="s">
        <v>11</v>
      </c>
      <c r="B5" s="0" t="n">
        <v>0.08</v>
      </c>
      <c r="C5" s="0" t="s">
        <v>8</v>
      </c>
    </row>
    <row r="6" customFormat="false" ht="15" hidden="false" customHeight="false" outlineLevel="0" collapsed="false">
      <c r="A6" s="0" t="s">
        <v>12</v>
      </c>
      <c r="B6" s="0" t="n">
        <v>17</v>
      </c>
      <c r="C6" s="0" t="s">
        <v>8</v>
      </c>
      <c r="D6" s="0" t="s">
        <v>13</v>
      </c>
    </row>
    <row r="7" customFormat="false" ht="15" hidden="false" customHeight="false" outlineLevel="0" collapsed="false">
      <c r="A7" s="0" t="s">
        <v>14</v>
      </c>
      <c r="B7" s="0" t="n">
        <v>1063</v>
      </c>
      <c r="C7" s="0" t="s">
        <v>15</v>
      </c>
      <c r="D7" s="0" t="s">
        <v>16</v>
      </c>
    </row>
    <row r="8" customFormat="false" ht="15" hidden="false" customHeight="false" outlineLevel="0" collapsed="false">
      <c r="A8" s="0" t="s">
        <v>17</v>
      </c>
      <c r="B8" s="0" t="n">
        <v>1063</v>
      </c>
      <c r="C8" s="0" t="s">
        <v>18</v>
      </c>
      <c r="D8" s="0" t="s">
        <v>19</v>
      </c>
    </row>
    <row r="9" customFormat="false" ht="15" hidden="false" customHeight="false" outlineLevel="0" collapsed="false">
      <c r="A9" s="0" t="s">
        <v>20</v>
      </c>
      <c r="B9" s="0" t="n">
        <v>874</v>
      </c>
      <c r="C9" s="0" t="s">
        <v>15</v>
      </c>
      <c r="D9" s="0" t="s">
        <v>21</v>
      </c>
    </row>
    <row r="10" customFormat="false" ht="15" hidden="false" customHeight="false" outlineLevel="0" collapsed="false">
      <c r="A10" s="0" t="s">
        <v>22</v>
      </c>
      <c r="B10" s="0" t="n">
        <v>473.47</v>
      </c>
      <c r="C10" s="0" t="s">
        <v>23</v>
      </c>
      <c r="D10" s="0" t="s">
        <v>24</v>
      </c>
    </row>
    <row r="11" customFormat="false" ht="15" hidden="false" customHeight="false" outlineLevel="0" collapsed="false">
      <c r="A11" s="0" t="s">
        <v>25</v>
      </c>
      <c r="B11" s="0" t="n">
        <v>90</v>
      </c>
      <c r="C11" s="0" t="s">
        <v>15</v>
      </c>
      <c r="D11" s="0" t="s">
        <v>26</v>
      </c>
    </row>
    <row r="12" customFormat="false" ht="15" hidden="false" customHeight="false" outlineLevel="0" collapsed="false">
      <c r="A12" s="0" t="s">
        <v>27</v>
      </c>
      <c r="B12" s="0" t="n">
        <v>1600</v>
      </c>
      <c r="C12" s="0" t="s">
        <v>15</v>
      </c>
      <c r="D12" s="0" t="s">
        <v>28</v>
      </c>
    </row>
    <row r="13" customFormat="false" ht="15" hidden="false" customHeight="false" outlineLevel="0" collapsed="false">
      <c r="A13" s="0" t="s">
        <v>29</v>
      </c>
      <c r="B13" s="0" t="n">
        <v>4000</v>
      </c>
      <c r="C13" s="0" t="s">
        <v>8</v>
      </c>
    </row>
    <row r="14" customFormat="false" ht="15" hidden="false" customHeight="false" outlineLevel="0" collapsed="false">
      <c r="A14" s="0" t="s">
        <v>30</v>
      </c>
      <c r="B14" s="0" t="n">
        <v>400</v>
      </c>
      <c r="C14" s="0" t="s">
        <v>8</v>
      </c>
    </row>
    <row r="15" customFormat="false" ht="15" hidden="false" customHeight="false" outlineLevel="0" collapsed="false">
      <c r="A15" s="0" t="s">
        <v>31</v>
      </c>
      <c r="B15" s="0" t="n">
        <v>5000</v>
      </c>
      <c r="C15" s="0" t="s">
        <v>8</v>
      </c>
      <c r="D15" s="0" t="s">
        <v>32</v>
      </c>
    </row>
    <row r="16" customFormat="false" ht="15" hidden="false" customHeight="false" outlineLevel="0" collapsed="false">
      <c r="A16" s="0" t="s">
        <v>33</v>
      </c>
      <c r="B16" s="0" t="n">
        <v>60</v>
      </c>
      <c r="C16" s="0" t="s">
        <v>8</v>
      </c>
    </row>
    <row r="17" customFormat="false" ht="15" hidden="false" customHeight="false" outlineLevel="0" collapsed="false">
      <c r="A17" s="0" t="s">
        <v>34</v>
      </c>
      <c r="B17" s="0" t="n">
        <v>0.5</v>
      </c>
      <c r="C17" s="0" t="s">
        <v>8</v>
      </c>
    </row>
    <row r="18" customFormat="false" ht="15" hidden="false" customHeight="false" outlineLevel="0" collapsed="false">
      <c r="A18" s="0" t="s">
        <v>35</v>
      </c>
      <c r="B18" s="0" t="n">
        <v>23</v>
      </c>
      <c r="C18" s="0" t="s">
        <v>15</v>
      </c>
      <c r="D18" s="0" t="s">
        <v>36</v>
      </c>
    </row>
    <row r="20" customFormat="false" ht="15" hidden="false" customHeight="false" outlineLevel="0" collapsed="false">
      <c r="A20" s="0" t="s">
        <v>37</v>
      </c>
      <c r="B20" s="0" t="n">
        <f aca="false">B3*(1-B5)-B2-B17</f>
        <v>4.22</v>
      </c>
      <c r="C20" s="0" t="s">
        <v>38</v>
      </c>
      <c r="D20" s="0" t="s">
        <v>39</v>
      </c>
    </row>
    <row r="21" customFormat="false" ht="15" hidden="false" customHeight="false" outlineLevel="0" collapsed="false">
      <c r="A21" s="0" t="s">
        <v>40</v>
      </c>
      <c r="B21" s="0" t="n">
        <f aca="false">B20*B4-B16</f>
        <v>573</v>
      </c>
      <c r="C21" s="0" t="s">
        <v>38</v>
      </c>
    </row>
    <row r="22" customFormat="false" ht="15" hidden="false" customHeight="false" outlineLevel="0" collapsed="false">
      <c r="A22" s="0" t="s">
        <v>41</v>
      </c>
      <c r="B22" s="0" t="n">
        <f aca="false">B21*4.33</f>
        <v>2481.09</v>
      </c>
      <c r="C22" s="0" t="s">
        <v>38</v>
      </c>
    </row>
    <row r="23" customFormat="false" ht="15" hidden="false" customHeight="false" outlineLevel="0" collapsed="false">
      <c r="A23" s="0" t="s">
        <v>42</v>
      </c>
      <c r="B23" s="0" t="n">
        <f aca="false">SUM(B7:B15)</f>
        <v>14563.47</v>
      </c>
      <c r="C23" s="0" t="s">
        <v>38</v>
      </c>
      <c r="D23" s="0" t="s">
        <v>43</v>
      </c>
    </row>
    <row r="24" customFormat="false" ht="15" hidden="false" customHeight="false" outlineLevel="0" collapsed="false">
      <c r="A24" s="0" t="s">
        <v>44</v>
      </c>
      <c r="B24" s="0" t="n">
        <f aca="false">B21*B6-B23</f>
        <v>-4822.47</v>
      </c>
      <c r="C24" s="0" t="s">
        <v>38</v>
      </c>
    </row>
    <row r="25" customFormat="false" ht="15" hidden="false" customHeight="false" outlineLevel="0" collapsed="false">
      <c r="A25" s="0" t="s">
        <v>45</v>
      </c>
      <c r="B25" s="0" t="n">
        <f aca="false">(B23+B16*B6)/B20</f>
        <v>3692.7654028436</v>
      </c>
      <c r="C25" s="0" t="s">
        <v>38</v>
      </c>
      <c r="D25" s="0" t="s">
        <v>46</v>
      </c>
    </row>
    <row r="26" customFormat="false" ht="15" hidden="false" customHeight="false" outlineLevel="0" collapsed="false">
      <c r="A26" s="0" t="s">
        <v>47</v>
      </c>
      <c r="B26" s="0" t="n">
        <f aca="false">B25/B6</f>
        <v>217.221494284918</v>
      </c>
      <c r="C26" s="0" t="s">
        <v>38</v>
      </c>
    </row>
    <row r="27" customFormat="false" ht="15" hidden="false" customHeight="false" outlineLevel="0" collapsed="false">
      <c r="A27" s="0" t="s">
        <v>48</v>
      </c>
      <c r="B27" s="0" t="n">
        <f aca="false">(B23+B16*B18)/B20/B18</f>
        <v>164.264063465897</v>
      </c>
      <c r="C27" s="0" t="s">
        <v>38</v>
      </c>
      <c r="D27" s="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2026-10-15T22:09:29Z</dcterms:created>
  <dc:creator>openpyxl</dc:creator>
  <dc:description/>
  <dc:language>en-US</dc:language>
  <cp:lastModifiedBy/>
  <dcterms:modified xsi:type="dcterms:W3CDTF">2026-10-15T22:09:29Z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